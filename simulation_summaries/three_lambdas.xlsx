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pom\Documents\VFP-Skewed-Power\simulation_summaries\"/>
    </mc:Choice>
  </mc:AlternateContent>
  <xr:revisionPtr revIDLastSave="0" documentId="13_ncr:9_{5F6CEA89-85C9-431D-941C-625E8423B383}" xr6:coauthVersionLast="47" xr6:coauthVersionMax="47" xr10:uidLastSave="{00000000-0000-0000-0000-000000000000}"/>
  <bookViews>
    <workbookView xWindow="-120" yWindow="-120" windowWidth="29040" windowHeight="15720" xr2:uid="{041BFABA-51E1-4EFB-B4A4-9F3578719142}"/>
  </bookViews>
  <sheets>
    <sheet name="three_lambdas" sheetId="1" r:id="rId1"/>
  </sheets>
  <calcPr calcId="0"/>
</workbook>
</file>

<file path=xl/calcChain.xml><?xml version="1.0" encoding="utf-8"?>
<calcChain xmlns="http://schemas.openxmlformats.org/spreadsheetml/2006/main">
  <c r="G36" i="1" l="1"/>
  <c r="F36" i="1"/>
  <c r="G33" i="1"/>
  <c r="F33" i="1"/>
  <c r="G30" i="1"/>
  <c r="F30" i="1"/>
  <c r="G27" i="1"/>
  <c r="F27" i="1"/>
  <c r="G24" i="1"/>
  <c r="F24" i="1"/>
  <c r="G21" i="1"/>
  <c r="F21" i="1"/>
  <c r="G18" i="1"/>
  <c r="F18" i="1"/>
  <c r="G15" i="1"/>
  <c r="F15" i="1"/>
  <c r="G12" i="1"/>
  <c r="F12" i="1"/>
  <c r="G9" i="1"/>
  <c r="F9" i="1"/>
  <c r="G6" i="1"/>
  <c r="F6" i="1"/>
  <c r="G3" i="1"/>
  <c r="F3" i="1"/>
</calcChain>
</file>

<file path=xl/sharedStrings.xml><?xml version="1.0" encoding="utf-8"?>
<sst xmlns="http://schemas.openxmlformats.org/spreadsheetml/2006/main" count="79" uniqueCount="14">
  <si>
    <t>known_lambda</t>
  </si>
  <si>
    <t>bias_level</t>
  </si>
  <si>
    <t>name</t>
  </si>
  <si>
    <t>median_abs_delta</t>
  </si>
  <si>
    <t>sd_abs_delta</t>
  </si>
  <si>
    <t>minimal</t>
  </si>
  <si>
    <t>Biased</t>
  </si>
  <si>
    <t>xmin</t>
  </si>
  <si>
    <t>Fixed</t>
  </si>
  <si>
    <t>moderate</t>
  </si>
  <si>
    <t>strong</t>
  </si>
  <si>
    <t>extreme</t>
  </si>
  <si>
    <t>Fixed more accurate</t>
  </si>
  <si>
    <t>fixed more precise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</si>
</sst>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68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67" fontId="0" fillId="0" borderId="0" xfId="0" applyNumberFormat="1"/>
    <xf numFmtId="167" fontId="0" fillId="0" borderId="10" xfId="0" applyNumberFormat="1" applyBorder="1"/>
    <xf numFmtId="168" fontId="0" fillId="0" borderId="0" xfId="0" applyNumberFormat="1"/>
    <xf numFmtId="168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ED0D-C1D8-45DB-884F-6768ACED37AF}">
  <dimension ref="A1:G37"/>
  <sheetViews>
    <sheetView tabSelected="1" topLeftCell="A4" workbookViewId="0">
      <selection activeCell="D2" sqref="D2:E37"/>
    </sheetView>
  </sheetViews>
  <sheetFormatPr defaultRowHeight="15" x14ac:dyDescent="0.25"/>
  <cols>
    <col min="4" max="4" width="9.5703125" bestFit="1" customWidth="1"/>
    <col min="5" max="5" width="1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</row>
    <row r="2" spans="1:7" x14ac:dyDescent="0.25">
      <c r="A2">
        <v>-1.9</v>
      </c>
      <c r="B2" t="s">
        <v>5</v>
      </c>
      <c r="C2" t="s">
        <v>6</v>
      </c>
      <c r="D2" s="4">
        <v>1.78425867221031E-2</v>
      </c>
      <c r="E2" s="2">
        <v>8.5061870622985397E-3</v>
      </c>
    </row>
    <row r="3" spans="1:7" x14ac:dyDescent="0.25">
      <c r="A3">
        <v>-1.9</v>
      </c>
      <c r="B3" t="s">
        <v>5</v>
      </c>
      <c r="C3" t="s">
        <v>7</v>
      </c>
      <c r="D3" s="4">
        <v>1.2371644695494699E-2</v>
      </c>
      <c r="E3" s="2">
        <v>9.5852183571747407E-3</v>
      </c>
      <c r="F3" t="b">
        <f>IF(D4&lt;D3, TRUE, FALSE)</f>
        <v>0</v>
      </c>
      <c r="G3" t="b">
        <f>IF(E4&lt;E3, TRUE, FALSE)</f>
        <v>1</v>
      </c>
    </row>
    <row r="4" spans="1:7" x14ac:dyDescent="0.25">
      <c r="A4" s="1">
        <v>-1.9</v>
      </c>
      <c r="B4" s="1" t="s">
        <v>5</v>
      </c>
      <c r="C4" s="1" t="s">
        <v>8</v>
      </c>
      <c r="D4" s="5">
        <v>1.6174103907093802E-2</v>
      </c>
      <c r="E4" s="3">
        <v>8.6163255027864507E-3</v>
      </c>
      <c r="F4" s="1"/>
      <c r="G4" s="1"/>
    </row>
    <row r="5" spans="1:7" x14ac:dyDescent="0.25">
      <c r="A5">
        <v>-1.9</v>
      </c>
      <c r="B5" t="s">
        <v>9</v>
      </c>
      <c r="C5" t="s">
        <v>6</v>
      </c>
      <c r="D5" s="4">
        <v>0.18457958228874499</v>
      </c>
      <c r="E5" s="2">
        <v>8.0515893137592699E-3</v>
      </c>
    </row>
    <row r="6" spans="1:7" x14ac:dyDescent="0.25">
      <c r="A6">
        <v>-1.9</v>
      </c>
      <c r="B6" t="s">
        <v>9</v>
      </c>
      <c r="C6" t="s">
        <v>7</v>
      </c>
      <c r="D6" s="4">
        <v>3.3791423310612599E-2</v>
      </c>
      <c r="E6" s="2">
        <v>2.32547466909384E-2</v>
      </c>
      <c r="F6" t="b">
        <f>IF(D7&lt;D6, TRUE, FALSE)</f>
        <v>1</v>
      </c>
      <c r="G6" t="b">
        <f>IF(E7&lt;E6, TRUE, FALSE)</f>
        <v>1</v>
      </c>
    </row>
    <row r="7" spans="1:7" x14ac:dyDescent="0.25">
      <c r="A7" s="1">
        <v>-1.9</v>
      </c>
      <c r="B7" s="1" t="s">
        <v>9</v>
      </c>
      <c r="C7" s="1" t="s">
        <v>8</v>
      </c>
      <c r="D7" s="5">
        <v>2.49285612017799E-2</v>
      </c>
      <c r="E7" s="3">
        <v>1.9741590787299399E-2</v>
      </c>
      <c r="F7" s="1"/>
      <c r="G7" s="1"/>
    </row>
    <row r="8" spans="1:7" x14ac:dyDescent="0.25">
      <c r="A8">
        <v>-1.9</v>
      </c>
      <c r="B8" t="s">
        <v>10</v>
      </c>
      <c r="C8" t="s">
        <v>6</v>
      </c>
      <c r="D8" s="4">
        <v>0.452420562450217</v>
      </c>
      <c r="E8" s="2">
        <v>1.2254834091700501E-2</v>
      </c>
    </row>
    <row r="9" spans="1:7" x14ac:dyDescent="0.25">
      <c r="A9">
        <v>-1.9</v>
      </c>
      <c r="B9" t="s">
        <v>10</v>
      </c>
      <c r="C9" t="s">
        <v>7</v>
      </c>
      <c r="D9" s="4">
        <v>8.4358200403869099E-2</v>
      </c>
      <c r="E9" s="2">
        <v>5.13153810667826E-2</v>
      </c>
      <c r="F9" t="b">
        <f>IF(D10&lt;D9, TRUE, FALSE)</f>
        <v>1</v>
      </c>
      <c r="G9" t="b">
        <f>IF(E10&lt;E9, TRUE, FALSE)</f>
        <v>0</v>
      </c>
    </row>
    <row r="10" spans="1:7" x14ac:dyDescent="0.25">
      <c r="A10" s="1">
        <v>-1.9</v>
      </c>
      <c r="B10" s="1" t="s">
        <v>10</v>
      </c>
      <c r="C10" s="1" t="s">
        <v>8</v>
      </c>
      <c r="D10" s="5">
        <v>7.3320199170978595E-2</v>
      </c>
      <c r="E10" s="3">
        <v>6.2088311645301403E-2</v>
      </c>
      <c r="F10" s="1"/>
      <c r="G10" s="1"/>
    </row>
    <row r="11" spans="1:7" x14ac:dyDescent="0.25">
      <c r="A11">
        <v>-1.9</v>
      </c>
      <c r="B11" t="s">
        <v>11</v>
      </c>
      <c r="C11" t="s">
        <v>6</v>
      </c>
      <c r="D11" s="4">
        <v>0.60039185280732199</v>
      </c>
      <c r="E11" s="2">
        <v>2.0811529035570299E-2</v>
      </c>
    </row>
    <row r="12" spans="1:7" x14ac:dyDescent="0.25">
      <c r="A12">
        <v>-1.9</v>
      </c>
      <c r="B12" t="s">
        <v>11</v>
      </c>
      <c r="C12" t="s">
        <v>7</v>
      </c>
      <c r="D12" s="4">
        <v>0.208952457894889</v>
      </c>
      <c r="E12" s="2">
        <v>0.11331348620784699</v>
      </c>
      <c r="F12" t="b">
        <f>IF(D13&lt;D12, TRUE, FALSE)</f>
        <v>0</v>
      </c>
      <c r="G12" t="b">
        <f>IF(E13&lt;E12, TRUE, FALSE)</f>
        <v>0</v>
      </c>
    </row>
    <row r="13" spans="1:7" x14ac:dyDescent="0.25">
      <c r="A13" s="1">
        <v>-1.9</v>
      </c>
      <c r="B13" s="1" t="s">
        <v>11</v>
      </c>
      <c r="C13" s="1" t="s">
        <v>8</v>
      </c>
      <c r="D13" s="5">
        <v>0.33345511123353699</v>
      </c>
      <c r="E13" s="3">
        <v>0.31170303607546501</v>
      </c>
      <c r="F13" s="1"/>
      <c r="G13" s="1"/>
    </row>
    <row r="14" spans="1:7" x14ac:dyDescent="0.25">
      <c r="A14">
        <v>-2</v>
      </c>
      <c r="B14" t="s">
        <v>5</v>
      </c>
      <c r="C14" t="s">
        <v>6</v>
      </c>
      <c r="D14" s="4">
        <v>2.02019924014901E-2</v>
      </c>
      <c r="E14" s="2">
        <v>9.5547081073218496E-3</v>
      </c>
    </row>
    <row r="15" spans="1:7" x14ac:dyDescent="0.25">
      <c r="A15">
        <v>-2</v>
      </c>
      <c r="B15" t="s">
        <v>5</v>
      </c>
      <c r="C15" t="s">
        <v>7</v>
      </c>
      <c r="D15" s="4">
        <v>1.3848895104000201E-2</v>
      </c>
      <c r="E15" s="2">
        <v>1.0555284926575601E-2</v>
      </c>
      <c r="F15" t="b">
        <f>IF(D16&lt;D15, TRUE, FALSE)</f>
        <v>0</v>
      </c>
      <c r="G15" t="b">
        <f>IF(E16&lt;E15, TRUE, FALSE)</f>
        <v>1</v>
      </c>
    </row>
    <row r="16" spans="1:7" x14ac:dyDescent="0.25">
      <c r="A16" s="1">
        <v>-2</v>
      </c>
      <c r="B16" s="1" t="s">
        <v>5</v>
      </c>
      <c r="C16" s="1" t="s">
        <v>8</v>
      </c>
      <c r="D16" s="5">
        <v>1.8381278609633001E-2</v>
      </c>
      <c r="E16" s="3">
        <v>9.4897420135858293E-3</v>
      </c>
      <c r="F16" s="1"/>
      <c r="G16" s="1"/>
    </row>
    <row r="17" spans="1:7" x14ac:dyDescent="0.25">
      <c r="A17">
        <v>-2</v>
      </c>
      <c r="B17" t="s">
        <v>9</v>
      </c>
      <c r="C17" t="s">
        <v>6</v>
      </c>
      <c r="D17" s="4">
        <v>0.20707412540683601</v>
      </c>
      <c r="E17" s="2">
        <v>9.0445112861538297E-3</v>
      </c>
    </row>
    <row r="18" spans="1:7" x14ac:dyDescent="0.25">
      <c r="A18">
        <v>-2</v>
      </c>
      <c r="B18" t="s">
        <v>9</v>
      </c>
      <c r="C18" t="s">
        <v>7</v>
      </c>
      <c r="D18" s="4">
        <v>4.4452056935461899E-2</v>
      </c>
      <c r="E18" s="2">
        <v>2.8551138287680501E-2</v>
      </c>
      <c r="F18" t="b">
        <f>IF(D19&lt;D18, TRUE, FALSE)</f>
        <v>1</v>
      </c>
      <c r="G18" t="b">
        <f>IF(E19&lt;E18, TRUE, FALSE)</f>
        <v>1</v>
      </c>
    </row>
    <row r="19" spans="1:7" x14ac:dyDescent="0.25">
      <c r="A19" s="1">
        <v>-2</v>
      </c>
      <c r="B19" s="1" t="s">
        <v>9</v>
      </c>
      <c r="C19" s="1" t="s">
        <v>8</v>
      </c>
      <c r="D19" s="5">
        <v>2.9479050847212401E-2</v>
      </c>
      <c r="E19" s="3">
        <v>2.5493875269337302E-2</v>
      </c>
      <c r="F19" s="1"/>
      <c r="G19" s="1"/>
    </row>
    <row r="20" spans="1:7" x14ac:dyDescent="0.25">
      <c r="A20">
        <v>-2</v>
      </c>
      <c r="B20" t="s">
        <v>10</v>
      </c>
      <c r="C20" t="s">
        <v>6</v>
      </c>
      <c r="D20" s="4">
        <v>0.499678226660415</v>
      </c>
      <c r="E20" s="2">
        <v>1.4391829326267799E-2</v>
      </c>
    </row>
    <row r="21" spans="1:7" x14ac:dyDescent="0.25">
      <c r="A21">
        <v>-2</v>
      </c>
      <c r="B21" t="s">
        <v>10</v>
      </c>
      <c r="C21" t="s">
        <v>7</v>
      </c>
      <c r="D21" s="4">
        <v>0.10873381293206601</v>
      </c>
      <c r="E21" s="2">
        <v>6.8456496300224698E-2</v>
      </c>
      <c r="F21" t="b">
        <f>IF(D22&lt;D21, TRUE, FALSE)</f>
        <v>1</v>
      </c>
      <c r="G21" t="b">
        <f>IF(E22&lt;E21, TRUE, FALSE)</f>
        <v>0</v>
      </c>
    </row>
    <row r="22" spans="1:7" x14ac:dyDescent="0.25">
      <c r="A22" s="1">
        <v>-2</v>
      </c>
      <c r="B22" s="1" t="s">
        <v>10</v>
      </c>
      <c r="C22" s="1" t="s">
        <v>8</v>
      </c>
      <c r="D22" s="5">
        <v>0.10824871838875599</v>
      </c>
      <c r="E22" s="3">
        <v>9.1886122586438607E-2</v>
      </c>
      <c r="F22" s="1"/>
      <c r="G22" s="1"/>
    </row>
    <row r="23" spans="1:7" x14ac:dyDescent="0.25">
      <c r="A23">
        <v>-2</v>
      </c>
      <c r="B23" t="s">
        <v>11</v>
      </c>
      <c r="C23" t="s">
        <v>6</v>
      </c>
      <c r="D23" s="4">
        <v>0.63850598814635895</v>
      </c>
      <c r="E23" s="2">
        <v>1.9851442288910299E-2</v>
      </c>
    </row>
    <row r="24" spans="1:7" x14ac:dyDescent="0.25">
      <c r="A24">
        <v>-2</v>
      </c>
      <c r="B24" t="s">
        <v>11</v>
      </c>
      <c r="C24" t="s">
        <v>7</v>
      </c>
      <c r="D24" s="4">
        <v>0.29381870284040901</v>
      </c>
      <c r="E24" s="2">
        <v>0.142603814864359</v>
      </c>
      <c r="F24" t="b">
        <f>IF(D25&lt;D24, TRUE, FALSE)</f>
        <v>0</v>
      </c>
      <c r="G24" t="b">
        <f>IF(E25&lt;E24, TRUE, FALSE)</f>
        <v>0</v>
      </c>
    </row>
    <row r="25" spans="1:7" x14ac:dyDescent="0.25">
      <c r="A25" s="1">
        <v>-2</v>
      </c>
      <c r="B25" s="1" t="s">
        <v>11</v>
      </c>
      <c r="C25" s="1" t="s">
        <v>8</v>
      </c>
      <c r="D25" s="5">
        <v>0.48752615759437901</v>
      </c>
      <c r="E25" s="3">
        <v>0.36291541269281502</v>
      </c>
      <c r="F25" s="1"/>
      <c r="G25" s="1"/>
    </row>
    <row r="26" spans="1:7" x14ac:dyDescent="0.25">
      <c r="A26">
        <v>-2.1</v>
      </c>
      <c r="B26" t="s">
        <v>5</v>
      </c>
      <c r="C26" t="s">
        <v>6</v>
      </c>
      <c r="D26" s="4">
        <v>2.29421209361595E-2</v>
      </c>
      <c r="E26" s="2">
        <v>1.0548919229748301E-2</v>
      </c>
    </row>
    <row r="27" spans="1:7" x14ac:dyDescent="0.25">
      <c r="A27">
        <v>-2.1</v>
      </c>
      <c r="B27" t="s">
        <v>5</v>
      </c>
      <c r="C27" t="s">
        <v>7</v>
      </c>
      <c r="D27" s="4">
        <v>1.61222655340038E-2</v>
      </c>
      <c r="E27" s="2">
        <v>1.16941056067073E-2</v>
      </c>
      <c r="F27" t="b">
        <f>IF(D28&lt;D27, TRUE, FALSE)</f>
        <v>0</v>
      </c>
      <c r="G27" t="b">
        <f>IF(E28&lt;E27, TRUE, FALSE)</f>
        <v>1</v>
      </c>
    </row>
    <row r="28" spans="1:7" x14ac:dyDescent="0.25">
      <c r="A28" s="1">
        <v>-2.1</v>
      </c>
      <c r="B28" s="1" t="s">
        <v>5</v>
      </c>
      <c r="C28" s="1" t="s">
        <v>8</v>
      </c>
      <c r="D28" s="5">
        <v>2.0859515610104299E-2</v>
      </c>
      <c r="E28" s="3">
        <v>1.0838734788411001E-2</v>
      </c>
      <c r="F28" s="1"/>
      <c r="G28" s="1"/>
    </row>
    <row r="29" spans="1:7" x14ac:dyDescent="0.25">
      <c r="A29">
        <v>-2.1</v>
      </c>
      <c r="B29" t="s">
        <v>9</v>
      </c>
      <c r="C29" t="s">
        <v>6</v>
      </c>
      <c r="D29" s="4">
        <v>0.22765118306773299</v>
      </c>
      <c r="E29" s="2">
        <v>9.9099828812097401E-3</v>
      </c>
    </row>
    <row r="30" spans="1:7" x14ac:dyDescent="0.25">
      <c r="A30">
        <v>-2.1</v>
      </c>
      <c r="B30" t="s">
        <v>9</v>
      </c>
      <c r="C30" t="s">
        <v>7</v>
      </c>
      <c r="D30" s="4">
        <v>5.21435281602253E-2</v>
      </c>
      <c r="E30" s="2">
        <v>3.2949753658714699E-2</v>
      </c>
      <c r="F30" t="b">
        <f>IF(D31&lt;D30, TRUE, FALSE)</f>
        <v>1</v>
      </c>
      <c r="G30" t="b">
        <f>IF(E31&lt;E30, TRUE, FALSE)</f>
        <v>1</v>
      </c>
    </row>
    <row r="31" spans="1:7" x14ac:dyDescent="0.25">
      <c r="A31" s="1">
        <v>-2.1</v>
      </c>
      <c r="B31" s="1" t="s">
        <v>9</v>
      </c>
      <c r="C31" s="1" t="s">
        <v>8</v>
      </c>
      <c r="D31" s="5">
        <v>3.3101312005754599E-2</v>
      </c>
      <c r="E31" s="3">
        <v>3.0648302216647699E-2</v>
      </c>
      <c r="F31" s="1"/>
      <c r="G31" s="1"/>
    </row>
    <row r="32" spans="1:7" x14ac:dyDescent="0.25">
      <c r="A32">
        <v>-2.1</v>
      </c>
      <c r="B32" t="s">
        <v>10</v>
      </c>
      <c r="C32" t="s">
        <v>6</v>
      </c>
      <c r="D32" s="4">
        <v>0.54503007631550304</v>
      </c>
      <c r="E32" s="2">
        <v>1.5880228957794701E-2</v>
      </c>
    </row>
    <row r="33" spans="1:7" x14ac:dyDescent="0.25">
      <c r="A33">
        <v>-2.1</v>
      </c>
      <c r="B33" t="s">
        <v>10</v>
      </c>
      <c r="C33" t="s">
        <v>7</v>
      </c>
      <c r="D33" s="4">
        <v>0.146942791860633</v>
      </c>
      <c r="E33" s="2">
        <v>8.7790469084062406E-2</v>
      </c>
      <c r="F33" t="b">
        <f>IF(D34&lt;D33, TRUE, FALSE)</f>
        <v>0</v>
      </c>
      <c r="G33" t="b">
        <f>IF(E34&lt;E33, TRUE, FALSE)</f>
        <v>0</v>
      </c>
    </row>
    <row r="34" spans="1:7" x14ac:dyDescent="0.25">
      <c r="A34" s="1">
        <v>-2.1</v>
      </c>
      <c r="B34" s="1" t="s">
        <v>10</v>
      </c>
      <c r="C34" s="1" t="s">
        <v>8</v>
      </c>
      <c r="D34" s="5">
        <v>0.165378527540851</v>
      </c>
      <c r="E34" s="3">
        <v>0.14214647467539901</v>
      </c>
      <c r="F34" s="1"/>
      <c r="G34" s="1"/>
    </row>
    <row r="35" spans="1:7" x14ac:dyDescent="0.25">
      <c r="A35">
        <v>-2.1</v>
      </c>
      <c r="B35" t="s">
        <v>11</v>
      </c>
      <c r="C35" t="s">
        <v>6</v>
      </c>
      <c r="D35" s="4">
        <v>0.67222461082287399</v>
      </c>
      <c r="E35" s="2">
        <v>2.3681795590917099E-2</v>
      </c>
    </row>
    <row r="36" spans="1:7" x14ac:dyDescent="0.25">
      <c r="A36">
        <v>-2.1</v>
      </c>
      <c r="B36" t="s">
        <v>11</v>
      </c>
      <c r="C36" t="s">
        <v>7</v>
      </c>
      <c r="D36" s="4">
        <v>0.43339060055913797</v>
      </c>
      <c r="E36" s="2">
        <v>0.168898230418951</v>
      </c>
      <c r="F36" t="b">
        <f>IF(D37&lt;D36, TRUE, FALSE)</f>
        <v>0</v>
      </c>
      <c r="G36" t="b">
        <f>IF(E37&lt;E36, TRUE, FALSE)</f>
        <v>0</v>
      </c>
    </row>
    <row r="37" spans="1:7" x14ac:dyDescent="0.25">
      <c r="A37" s="1">
        <v>-2.1</v>
      </c>
      <c r="B37" s="1" t="s">
        <v>11</v>
      </c>
      <c r="C37" s="1" t="s">
        <v>8</v>
      </c>
      <c r="D37" s="5">
        <v>0.946708810322067</v>
      </c>
      <c r="E37" s="3">
        <v>0.31719668780976101</v>
      </c>
      <c r="F37" s="1"/>
      <c r="G37" s="1"/>
    </row>
  </sheetData>
  <sortState xmlns:xlrd2="http://schemas.microsoft.com/office/spreadsheetml/2017/richdata2" ref="A2:E37">
    <sortCondition descending="1" ref="A2:A37"/>
    <sortCondition ref="B2:B37" customList="minimal,moderate,strong,extreme"/>
    <sortCondition ref="C2:C37" customList="Biased,xmin,Fixed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three_lambdas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Pomeranz</dc:creator>
  <cp:lastModifiedBy>Justin Pomeranz</cp:lastModifiedBy>
  <dcterms:created xsi:type="dcterms:W3CDTF">2026-06-24T17:49:46Z</dcterms:created>
  <dcterms:modified xsi:type="dcterms:W3CDTF">2026-06-24T20:12:00Z</dcterms:modified>
</cp:coreProperties>
</file>