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pom\Documents\VFP-Skewed-Power\simulation_summaries\"/>
    </mc:Choice>
  </mc:AlternateContent>
  <xr:revisionPtr revIDLastSave="0" documentId="13_ncr:9_{BF72D2D7-09C0-4F0E-8F86-9E38A3B154A1}" xr6:coauthVersionLast="47" xr6:coauthVersionMax="47" xr10:uidLastSave="{00000000-0000-0000-0000-000000000000}"/>
  <bookViews>
    <workbookView xWindow="-120" yWindow="-120" windowWidth="29040" windowHeight="15720" xr2:uid="{C2C2B069-ED7A-4340-865F-83B0DECF661A}"/>
  </bookViews>
  <sheets>
    <sheet name="three_betas" sheetId="1" r:id="rId1"/>
  </sheets>
  <calcPr calcId="0"/>
</workbook>
</file>

<file path=xl/calcChain.xml><?xml version="1.0" encoding="utf-8"?>
<calcChain xmlns="http://schemas.openxmlformats.org/spreadsheetml/2006/main">
  <c r="G12" i="1" l="1"/>
  <c r="F12" i="1"/>
  <c r="G9" i="1"/>
  <c r="F9" i="1"/>
  <c r="G6" i="1"/>
  <c r="F6" i="1"/>
  <c r="G3" i="1"/>
  <c r="F3" i="1"/>
  <c r="G24" i="1"/>
  <c r="F24" i="1"/>
  <c r="G21" i="1"/>
  <c r="F21" i="1"/>
  <c r="G18" i="1"/>
  <c r="F18" i="1"/>
  <c r="G15" i="1"/>
  <c r="F15" i="1"/>
  <c r="G36" i="1"/>
  <c r="F36" i="1"/>
  <c r="G33" i="1"/>
  <c r="F33" i="1"/>
  <c r="G30" i="1"/>
  <c r="F30" i="1"/>
  <c r="G27" i="1"/>
  <c r="F27" i="1"/>
  <c r="G48" i="1"/>
  <c r="F48" i="1"/>
  <c r="G45" i="1"/>
  <c r="F45" i="1"/>
  <c r="G42" i="1"/>
  <c r="F42" i="1"/>
  <c r="G39" i="1"/>
  <c r="F39" i="1"/>
</calcChain>
</file>

<file path=xl/sharedStrings.xml><?xml version="1.0" encoding="utf-8"?>
<sst xmlns="http://schemas.openxmlformats.org/spreadsheetml/2006/main" count="101" uniqueCount="12">
  <si>
    <t>known_beta</t>
  </si>
  <si>
    <t>bias_level</t>
  </si>
  <si>
    <t>data_model</t>
  </si>
  <si>
    <t>median_abs_delta</t>
  </si>
  <si>
    <t>sd_abs_delta</t>
  </si>
  <si>
    <t>minimal</t>
  </si>
  <si>
    <t>Fixed</t>
  </si>
  <si>
    <t>xmin</t>
  </si>
  <si>
    <t>Biased</t>
  </si>
  <si>
    <t>moderate</t>
  </si>
  <si>
    <t>strong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</si>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</sst>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Font="1"/>
    <xf numFmtId="0" fontId="0" fillId="0" borderId="0" xfId="0" applyFont="1" applyBorder="1"/>
    <xf numFmtId="169" fontId="0" fillId="0" borderId="0" xfId="0" applyNumberFormat="1" applyFont="1" applyBorder="1"/>
    <xf numFmtId="168" fontId="0" fillId="0" borderId="0" xfId="0" applyNumberFormat="1" applyFont="1" applyBorder="1"/>
    <xf numFmtId="169" fontId="0" fillId="0" borderId="0" xfId="0" applyNumberFormat="1" applyFont="1"/>
    <xf numFmtId="168" fontId="0" fillId="0" borderId="0" xfId="0" applyNumberFormat="1" applyFont="1"/>
    <xf numFmtId="0" fontId="0" fillId="0" borderId="11" xfId="0" applyFont="1" applyBorder="1"/>
    <xf numFmtId="169" fontId="0" fillId="0" borderId="11" xfId="0" applyNumberFormat="1" applyFont="1" applyBorder="1"/>
    <xf numFmtId="168" fontId="0" fillId="0" borderId="11" xfId="0" applyNumberFormat="1" applyFont="1" applyBorder="1"/>
    <xf numFmtId="0" fontId="0" fillId="0" borderId="10" xfId="0" applyFont="1" applyBorder="1"/>
    <xf numFmtId="169" fontId="0" fillId="0" borderId="10" xfId="0" applyNumberFormat="1" applyFont="1" applyBorder="1"/>
    <xf numFmtId="168" fontId="0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4BCC-4E82-4DAD-B27D-C461DDB28271}">
  <dimension ref="A1:G49"/>
  <sheetViews>
    <sheetView tabSelected="1" topLeftCell="A16" workbookViewId="0">
      <selection activeCell="A2" sqref="A2:G49"/>
    </sheetView>
  </sheetViews>
  <sheetFormatPr defaultRowHeight="15" x14ac:dyDescent="0.25"/>
  <cols>
    <col min="4" max="4" width="1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5">
      <c r="A2" s="2">
        <v>0</v>
      </c>
      <c r="B2" s="2" t="s">
        <v>5</v>
      </c>
      <c r="C2" s="2" t="s">
        <v>8</v>
      </c>
      <c r="D2" s="3">
        <v>3.8073679506208801E-3</v>
      </c>
      <c r="E2" s="4">
        <v>3.3408453359792699E-3</v>
      </c>
      <c r="F2" s="1"/>
      <c r="G2" s="1"/>
    </row>
    <row r="3" spans="1:7" x14ac:dyDescent="0.25">
      <c r="A3" s="1">
        <v>0</v>
      </c>
      <c r="B3" s="1" t="s">
        <v>5</v>
      </c>
      <c r="C3" s="1" t="s">
        <v>7</v>
      </c>
      <c r="D3" s="5">
        <v>5.95225921109282E-3</v>
      </c>
      <c r="E3" s="6">
        <v>5.8190580110634299E-3</v>
      </c>
      <c r="F3" s="1" t="b">
        <f>IF(D4&lt;D3, TRUE, FALSE)</f>
        <v>1</v>
      </c>
      <c r="G3" s="1" t="b">
        <f>IF(E4&lt;E3, TRUE, FALSE)</f>
        <v>1</v>
      </c>
    </row>
    <row r="4" spans="1:7" x14ac:dyDescent="0.25">
      <c r="A4" s="7">
        <v>0</v>
      </c>
      <c r="B4" s="7" t="s">
        <v>5</v>
      </c>
      <c r="C4" s="7" t="s">
        <v>6</v>
      </c>
      <c r="D4" s="8">
        <v>4.0591833544522098E-3</v>
      </c>
      <c r="E4" s="9">
        <v>3.4122249629517801E-3</v>
      </c>
      <c r="F4" s="1"/>
      <c r="G4" s="1"/>
    </row>
    <row r="5" spans="1:7" x14ac:dyDescent="0.25">
      <c r="A5" s="2">
        <v>0</v>
      </c>
      <c r="B5" s="2" t="s">
        <v>9</v>
      </c>
      <c r="C5" s="2" t="s">
        <v>8</v>
      </c>
      <c r="D5" s="3">
        <v>3.3450586969560698E-3</v>
      </c>
      <c r="E5" s="4">
        <v>3.0666894780740201E-3</v>
      </c>
      <c r="F5" s="1"/>
      <c r="G5" s="1"/>
    </row>
    <row r="6" spans="1:7" x14ac:dyDescent="0.25">
      <c r="A6" s="1">
        <v>0</v>
      </c>
      <c r="B6" s="1" t="s">
        <v>9</v>
      </c>
      <c r="C6" s="1" t="s">
        <v>7</v>
      </c>
      <c r="D6" s="5">
        <v>1.3588289082422199E-2</v>
      </c>
      <c r="E6" s="6">
        <v>1.23225416756556E-2</v>
      </c>
      <c r="F6" s="1" t="b">
        <f>IF(D7&lt;D6, TRUE, FALSE)</f>
        <v>1</v>
      </c>
      <c r="G6" s="1" t="b">
        <f>IF(E7&lt;E6, TRUE, FALSE)</f>
        <v>1</v>
      </c>
    </row>
    <row r="7" spans="1:7" x14ac:dyDescent="0.25">
      <c r="A7" s="7">
        <v>0</v>
      </c>
      <c r="B7" s="7" t="s">
        <v>9</v>
      </c>
      <c r="C7" s="7" t="s">
        <v>6</v>
      </c>
      <c r="D7" s="8">
        <v>1.2381456871870601E-2</v>
      </c>
      <c r="E7" s="9">
        <v>9.97960267591704E-3</v>
      </c>
      <c r="F7" s="1"/>
      <c r="G7" s="1"/>
    </row>
    <row r="8" spans="1:7" x14ac:dyDescent="0.25">
      <c r="A8" s="2">
        <v>0</v>
      </c>
      <c r="B8" s="2" t="s">
        <v>10</v>
      </c>
      <c r="C8" s="2" t="s">
        <v>8</v>
      </c>
      <c r="D8" s="3">
        <v>4.7980438445130698E-3</v>
      </c>
      <c r="E8" s="4">
        <v>4.4800880814710401E-3</v>
      </c>
      <c r="F8" s="1"/>
      <c r="G8" s="1"/>
    </row>
    <row r="9" spans="1:7" x14ac:dyDescent="0.25">
      <c r="A9" s="1">
        <v>0</v>
      </c>
      <c r="B9" s="1" t="s">
        <v>10</v>
      </c>
      <c r="C9" s="1" t="s">
        <v>7</v>
      </c>
      <c r="D9" s="5">
        <v>2.8273419410360299E-2</v>
      </c>
      <c r="E9" s="6">
        <v>2.69221724428854E-2</v>
      </c>
      <c r="F9" s="1" t="b">
        <f>IF(D10&lt;D9, TRUE, FALSE)</f>
        <v>0</v>
      </c>
      <c r="G9" s="1" t="b">
        <f>IF(E10&lt;E9, TRUE, FALSE)</f>
        <v>0</v>
      </c>
    </row>
    <row r="10" spans="1:7" x14ac:dyDescent="0.25">
      <c r="A10" s="7">
        <v>0</v>
      </c>
      <c r="B10" s="7" t="s">
        <v>10</v>
      </c>
      <c r="C10" s="7" t="s">
        <v>6</v>
      </c>
      <c r="D10" s="8">
        <v>3.8917265914008903E-2</v>
      </c>
      <c r="E10" s="9">
        <v>3.6267710476788603E-2</v>
      </c>
      <c r="F10" s="1"/>
      <c r="G10" s="1"/>
    </row>
    <row r="11" spans="1:7" x14ac:dyDescent="0.25">
      <c r="A11" s="2">
        <v>0</v>
      </c>
      <c r="B11" s="2" t="s">
        <v>11</v>
      </c>
      <c r="C11" s="2" t="s">
        <v>8</v>
      </c>
      <c r="D11" s="3">
        <v>9.0149376292060109E-3</v>
      </c>
      <c r="E11" s="4">
        <v>8.7395225521848495E-3</v>
      </c>
      <c r="F11" s="1"/>
      <c r="G11" s="1"/>
    </row>
    <row r="12" spans="1:7" x14ac:dyDescent="0.25">
      <c r="A12" s="1">
        <v>0</v>
      </c>
      <c r="B12" s="1" t="s">
        <v>11</v>
      </c>
      <c r="C12" s="1" t="s">
        <v>7</v>
      </c>
      <c r="D12" s="5">
        <v>5.5174190409051999E-2</v>
      </c>
      <c r="E12" s="6">
        <v>6.2128960715415397E-2</v>
      </c>
      <c r="F12" s="1" t="b">
        <f>IF(D13&lt;D12, TRUE, FALSE)</f>
        <v>0</v>
      </c>
      <c r="G12" s="1" t="b">
        <f>IF(E13&lt;E12, TRUE, FALSE)</f>
        <v>0</v>
      </c>
    </row>
    <row r="13" spans="1:7" ht="15.75" thickBot="1" x14ac:dyDescent="0.3">
      <c r="A13" s="10">
        <v>0</v>
      </c>
      <c r="B13" s="10" t="s">
        <v>11</v>
      </c>
      <c r="C13" s="10" t="s">
        <v>6</v>
      </c>
      <c r="D13" s="11">
        <v>0.141935555816954</v>
      </c>
      <c r="E13" s="12">
        <v>0.16652852929898199</v>
      </c>
      <c r="F13" s="1"/>
      <c r="G13" s="1"/>
    </row>
    <row r="14" spans="1:7" x14ac:dyDescent="0.25">
      <c r="A14" s="2">
        <v>-0.05</v>
      </c>
      <c r="B14" s="2" t="s">
        <v>5</v>
      </c>
      <c r="C14" s="2" t="s">
        <v>8</v>
      </c>
      <c r="D14" s="3">
        <v>8.7283222165067502E-3</v>
      </c>
      <c r="E14" s="4">
        <v>4.9932684230525898E-3</v>
      </c>
      <c r="F14" s="1"/>
      <c r="G14" s="1"/>
    </row>
    <row r="15" spans="1:7" x14ac:dyDescent="0.25">
      <c r="A15" s="1">
        <v>-0.05</v>
      </c>
      <c r="B15" s="1" t="s">
        <v>5</v>
      </c>
      <c r="C15" s="1" t="s">
        <v>7</v>
      </c>
      <c r="D15" s="5">
        <v>9.27579075916048E-3</v>
      </c>
      <c r="E15" s="6">
        <v>7.1438037997388296E-3</v>
      </c>
      <c r="F15" s="1" t="b">
        <f>IF(D16&lt;D15, TRUE, FALSE)</f>
        <v>1</v>
      </c>
      <c r="G15" s="1" t="b">
        <f>IF(E16&lt;E15, TRUE, FALSE)</f>
        <v>1</v>
      </c>
    </row>
    <row r="16" spans="1:7" x14ac:dyDescent="0.25">
      <c r="A16" s="7">
        <v>-0.05</v>
      </c>
      <c r="B16" s="7" t="s">
        <v>5</v>
      </c>
      <c r="C16" s="7" t="s">
        <v>6</v>
      </c>
      <c r="D16" s="8">
        <v>8.7844828471036092E-3</v>
      </c>
      <c r="E16" s="9">
        <v>5.2088968100874999E-3</v>
      </c>
      <c r="F16" s="1"/>
      <c r="G16" s="1"/>
    </row>
    <row r="17" spans="1:7" x14ac:dyDescent="0.25">
      <c r="A17" s="2">
        <v>-0.05</v>
      </c>
      <c r="B17" s="2" t="s">
        <v>9</v>
      </c>
      <c r="C17" s="2" t="s">
        <v>8</v>
      </c>
      <c r="D17" s="3">
        <v>4.4868068538196498E-3</v>
      </c>
      <c r="E17" s="4">
        <v>3.6432671636103301E-3</v>
      </c>
      <c r="F17" s="1"/>
      <c r="G17" s="1"/>
    </row>
    <row r="18" spans="1:7" x14ac:dyDescent="0.25">
      <c r="A18" s="1">
        <v>-0.05</v>
      </c>
      <c r="B18" s="1" t="s">
        <v>9</v>
      </c>
      <c r="C18" s="1" t="s">
        <v>7</v>
      </c>
      <c r="D18" s="5">
        <v>1.28553641885052E-2</v>
      </c>
      <c r="E18" s="6">
        <v>1.2197148564711499E-2</v>
      </c>
      <c r="F18" s="1" t="b">
        <f>IF(D19&lt;D18, TRUE, FALSE)</f>
        <v>1</v>
      </c>
      <c r="G18" s="1" t="b">
        <f>IF(E19&lt;E18, TRUE, FALSE)</f>
        <v>1</v>
      </c>
    </row>
    <row r="19" spans="1:7" x14ac:dyDescent="0.25">
      <c r="A19" s="7">
        <v>-0.05</v>
      </c>
      <c r="B19" s="7" t="s">
        <v>9</v>
      </c>
      <c r="C19" s="7" t="s">
        <v>6</v>
      </c>
      <c r="D19" s="8">
        <v>1.19998855681167E-2</v>
      </c>
      <c r="E19" s="9">
        <v>1.07279336782636E-2</v>
      </c>
      <c r="F19" s="1"/>
      <c r="G19" s="1"/>
    </row>
    <row r="20" spans="1:7" x14ac:dyDescent="0.25">
      <c r="A20" s="2">
        <v>-0.05</v>
      </c>
      <c r="B20" s="2" t="s">
        <v>10</v>
      </c>
      <c r="C20" s="2" t="s">
        <v>8</v>
      </c>
      <c r="D20" s="3">
        <v>2.0050202424747299E-2</v>
      </c>
      <c r="E20" s="4">
        <v>7.7314192800608797E-3</v>
      </c>
      <c r="F20" s="1"/>
      <c r="G20" s="1"/>
    </row>
    <row r="21" spans="1:7" x14ac:dyDescent="0.25">
      <c r="A21" s="1">
        <v>-0.05</v>
      </c>
      <c r="B21" s="1" t="s">
        <v>10</v>
      </c>
      <c r="C21" s="1" t="s">
        <v>7</v>
      </c>
      <c r="D21" s="5">
        <v>2.9567734241343201E-2</v>
      </c>
      <c r="E21" s="6">
        <v>2.73255127317923E-2</v>
      </c>
      <c r="F21" s="1" t="b">
        <f>IF(D22&lt;D21, TRUE, FALSE)</f>
        <v>0</v>
      </c>
      <c r="G21" s="1" t="b">
        <f>IF(E22&lt;E21, TRUE, FALSE)</f>
        <v>0</v>
      </c>
    </row>
    <row r="22" spans="1:7" x14ac:dyDescent="0.25">
      <c r="A22" s="7">
        <v>-0.05</v>
      </c>
      <c r="B22" s="7" t="s">
        <v>10</v>
      </c>
      <c r="C22" s="7" t="s">
        <v>6</v>
      </c>
      <c r="D22" s="8">
        <v>4.1921232772562898E-2</v>
      </c>
      <c r="E22" s="9">
        <v>3.5055070643469799E-2</v>
      </c>
      <c r="F22" s="1"/>
      <c r="G22" s="1"/>
    </row>
    <row r="23" spans="1:7" x14ac:dyDescent="0.25">
      <c r="A23" s="2">
        <v>-0.05</v>
      </c>
      <c r="B23" s="2" t="s">
        <v>11</v>
      </c>
      <c r="C23" s="2" t="s">
        <v>8</v>
      </c>
      <c r="D23" s="3">
        <v>1.7690072501107601E-2</v>
      </c>
      <c r="E23" s="4">
        <v>1.0529360359275101E-2</v>
      </c>
      <c r="F23" s="1"/>
      <c r="G23" s="1"/>
    </row>
    <row r="24" spans="1:7" x14ac:dyDescent="0.25">
      <c r="A24" s="1">
        <v>-0.05</v>
      </c>
      <c r="B24" s="1" t="s">
        <v>11</v>
      </c>
      <c r="C24" s="1" t="s">
        <v>7</v>
      </c>
      <c r="D24" s="5">
        <v>5.6159164275451402E-2</v>
      </c>
      <c r="E24" s="6">
        <v>5.9021175882685399E-2</v>
      </c>
      <c r="F24" s="1" t="b">
        <f>IF(D25&lt;D24, TRUE, FALSE)</f>
        <v>0</v>
      </c>
      <c r="G24" s="1" t="b">
        <f>IF(E25&lt;E24, TRUE, FALSE)</f>
        <v>0</v>
      </c>
    </row>
    <row r="25" spans="1:7" ht="15.75" thickBot="1" x14ac:dyDescent="0.3">
      <c r="A25" s="10">
        <v>-0.05</v>
      </c>
      <c r="B25" s="10" t="s">
        <v>11</v>
      </c>
      <c r="C25" s="10" t="s">
        <v>6</v>
      </c>
      <c r="D25" s="11">
        <v>0.200579576081067</v>
      </c>
      <c r="E25" s="12">
        <v>0.18631785382414101</v>
      </c>
      <c r="F25" s="1"/>
      <c r="G25" s="1"/>
    </row>
    <row r="26" spans="1:7" x14ac:dyDescent="0.25">
      <c r="A26" s="2">
        <v>-0.1</v>
      </c>
      <c r="B26" s="2" t="s">
        <v>5</v>
      </c>
      <c r="C26" s="2" t="s">
        <v>8</v>
      </c>
      <c r="D26" s="3">
        <v>4.3887075315643303E-3</v>
      </c>
      <c r="E26" s="4">
        <v>3.6464443362984999E-3</v>
      </c>
      <c r="F26" s="1"/>
      <c r="G26" s="1"/>
    </row>
    <row r="27" spans="1:7" x14ac:dyDescent="0.25">
      <c r="A27" s="1">
        <v>-0.1</v>
      </c>
      <c r="B27" s="1" t="s">
        <v>5</v>
      </c>
      <c r="C27" s="1" t="s">
        <v>7</v>
      </c>
      <c r="D27" s="5">
        <v>6.0735965682263303E-3</v>
      </c>
      <c r="E27" s="6">
        <v>5.39666713419352E-3</v>
      </c>
      <c r="F27" s="1" t="b">
        <f>IF(D28&lt;D27, TRUE, FALSE)</f>
        <v>1</v>
      </c>
      <c r="G27" s="1" t="b">
        <f>IF(E28&lt;E27, TRUE, FALSE)</f>
        <v>1</v>
      </c>
    </row>
    <row r="28" spans="1:7" x14ac:dyDescent="0.25">
      <c r="A28" s="7">
        <v>-0.1</v>
      </c>
      <c r="B28" s="7" t="s">
        <v>5</v>
      </c>
      <c r="C28" s="7" t="s">
        <v>6</v>
      </c>
      <c r="D28" s="8">
        <v>4.3730802089110201E-3</v>
      </c>
      <c r="E28" s="9">
        <v>3.7008366423073101E-3</v>
      </c>
      <c r="F28" s="1"/>
      <c r="G28" s="1"/>
    </row>
    <row r="29" spans="1:7" x14ac:dyDescent="0.25">
      <c r="A29" s="2">
        <v>-0.1</v>
      </c>
      <c r="B29" s="2" t="s">
        <v>9</v>
      </c>
      <c r="C29" s="2" t="s">
        <v>8</v>
      </c>
      <c r="D29" s="3">
        <v>2.2735575281739501E-2</v>
      </c>
      <c r="E29" s="4">
        <v>5.1698614605881201E-3</v>
      </c>
      <c r="F29" s="1"/>
      <c r="G29" s="1"/>
    </row>
    <row r="30" spans="1:7" x14ac:dyDescent="0.25">
      <c r="A30" s="1">
        <v>-0.1</v>
      </c>
      <c r="B30" s="1" t="s">
        <v>9</v>
      </c>
      <c r="C30" s="1" t="s">
        <v>7</v>
      </c>
      <c r="D30" s="5">
        <v>1.5951555055638899E-2</v>
      </c>
      <c r="E30" s="6">
        <v>1.4450963559596399E-2</v>
      </c>
      <c r="F30" s="1" t="b">
        <f>IF(D31&lt;D30, TRUE, FALSE)</f>
        <v>1</v>
      </c>
      <c r="G30" s="1" t="b">
        <f>IF(E31&lt;E30, TRUE, FALSE)</f>
        <v>1</v>
      </c>
    </row>
    <row r="31" spans="1:7" x14ac:dyDescent="0.25">
      <c r="A31" s="7">
        <v>-0.1</v>
      </c>
      <c r="B31" s="7" t="s">
        <v>9</v>
      </c>
      <c r="C31" s="7" t="s">
        <v>6</v>
      </c>
      <c r="D31" s="8">
        <v>1.2704383325719401E-2</v>
      </c>
      <c r="E31" s="9">
        <v>1.18891985195415E-2</v>
      </c>
      <c r="F31" s="1"/>
      <c r="G31" s="1"/>
    </row>
    <row r="32" spans="1:7" x14ac:dyDescent="0.25">
      <c r="A32" s="2">
        <v>-0.1</v>
      </c>
      <c r="B32" s="2" t="s">
        <v>10</v>
      </c>
      <c r="C32" s="2" t="s">
        <v>8</v>
      </c>
      <c r="D32" s="3">
        <v>4.8791467802206501E-2</v>
      </c>
      <c r="E32" s="4">
        <v>7.2114702181322902E-3</v>
      </c>
      <c r="F32" s="1"/>
      <c r="G32" s="1"/>
    </row>
    <row r="33" spans="1:7" x14ac:dyDescent="0.25">
      <c r="A33" s="1">
        <v>-0.1</v>
      </c>
      <c r="B33" s="1" t="s">
        <v>10</v>
      </c>
      <c r="C33" s="1" t="s">
        <v>7</v>
      </c>
      <c r="D33" s="5">
        <v>3.1792396195877398E-2</v>
      </c>
      <c r="E33" s="6">
        <v>3.0007184813475501E-2</v>
      </c>
      <c r="F33" s="1" t="b">
        <f>IF(D34&lt;D33, TRUE, FALSE)</f>
        <v>0</v>
      </c>
      <c r="G33" s="1" t="b">
        <f>IF(E34&lt;E33, TRUE, FALSE)</f>
        <v>0</v>
      </c>
    </row>
    <row r="34" spans="1:7" x14ac:dyDescent="0.25">
      <c r="A34" s="7">
        <v>-0.1</v>
      </c>
      <c r="B34" s="7" t="s">
        <v>10</v>
      </c>
      <c r="C34" s="7" t="s">
        <v>6</v>
      </c>
      <c r="D34" s="8">
        <v>4.7121251691903003E-2</v>
      </c>
      <c r="E34" s="9">
        <v>4.1250750721417498E-2</v>
      </c>
      <c r="F34" s="1"/>
      <c r="G34" s="1"/>
    </row>
    <row r="35" spans="1:7" x14ac:dyDescent="0.25">
      <c r="A35" s="2">
        <v>-0.1</v>
      </c>
      <c r="B35" s="2" t="s">
        <v>11</v>
      </c>
      <c r="C35" s="2" t="s">
        <v>8</v>
      </c>
      <c r="D35" s="3">
        <v>4.6557908589370499E-2</v>
      </c>
      <c r="E35" s="4">
        <v>1.2074272659821399E-2</v>
      </c>
      <c r="F35" s="1"/>
      <c r="G35" s="1"/>
    </row>
    <row r="36" spans="1:7" x14ac:dyDescent="0.25">
      <c r="A36" s="1">
        <v>-0.1</v>
      </c>
      <c r="B36" s="1" t="s">
        <v>11</v>
      </c>
      <c r="C36" s="1" t="s">
        <v>7</v>
      </c>
      <c r="D36" s="5">
        <v>8.7360489201179406E-2</v>
      </c>
      <c r="E36" s="6">
        <v>6.6085139367933393E-2</v>
      </c>
      <c r="F36" s="1" t="b">
        <f>IF(D37&lt;D36, TRUE, FALSE)</f>
        <v>0</v>
      </c>
      <c r="G36" s="1" t="b">
        <f>IF(E37&lt;E36, TRUE, FALSE)</f>
        <v>0</v>
      </c>
    </row>
    <row r="37" spans="1:7" ht="15.75" thickBot="1" x14ac:dyDescent="0.3">
      <c r="A37" s="10">
        <v>-0.1</v>
      </c>
      <c r="B37" s="10" t="s">
        <v>11</v>
      </c>
      <c r="C37" s="10" t="s">
        <v>6</v>
      </c>
      <c r="D37" s="11">
        <v>0.20444191234394299</v>
      </c>
      <c r="E37" s="12">
        <v>0.18312547349317601</v>
      </c>
      <c r="F37" s="1"/>
      <c r="G37" s="1"/>
    </row>
    <row r="38" spans="1:7" x14ac:dyDescent="0.25">
      <c r="A38" s="2">
        <v>-0.2</v>
      </c>
      <c r="B38" s="2" t="s">
        <v>5</v>
      </c>
      <c r="C38" s="2" t="s">
        <v>8</v>
      </c>
      <c r="D38" s="3">
        <v>5.6032817332513701E-3</v>
      </c>
      <c r="E38" s="4">
        <v>4.3417920034575404E-3</v>
      </c>
      <c r="F38" s="1"/>
      <c r="G38" s="1"/>
    </row>
    <row r="39" spans="1:7" x14ac:dyDescent="0.25">
      <c r="A39" s="1">
        <v>-0.2</v>
      </c>
      <c r="B39" s="1" t="s">
        <v>5</v>
      </c>
      <c r="C39" s="1" t="s">
        <v>7</v>
      </c>
      <c r="D39" s="5">
        <v>6.98562761105155E-3</v>
      </c>
      <c r="E39" s="6">
        <v>6.0788796679004603E-3</v>
      </c>
      <c r="F39" s="1" t="b">
        <f>IF(D40&lt;D39, TRUE, FALSE)</f>
        <v>1</v>
      </c>
      <c r="G39" s="1" t="b">
        <f>IF(E40&lt;E39, TRUE, FALSE)</f>
        <v>1</v>
      </c>
    </row>
    <row r="40" spans="1:7" x14ac:dyDescent="0.25">
      <c r="A40" s="7">
        <v>-0.2</v>
      </c>
      <c r="B40" s="7" t="s">
        <v>5</v>
      </c>
      <c r="C40" s="7" t="s">
        <v>6</v>
      </c>
      <c r="D40" s="8">
        <v>5.3569393773729001E-3</v>
      </c>
      <c r="E40" s="9">
        <v>4.4258949948074297E-3</v>
      </c>
      <c r="F40" s="1"/>
      <c r="G40" s="1"/>
    </row>
    <row r="41" spans="1:7" x14ac:dyDescent="0.25">
      <c r="A41" s="2">
        <v>-0.2</v>
      </c>
      <c r="B41" s="2" t="s">
        <v>9</v>
      </c>
      <c r="C41" s="2" t="s">
        <v>8</v>
      </c>
      <c r="D41" s="3">
        <v>4.48925726676958E-2</v>
      </c>
      <c r="E41" s="4">
        <v>5.1101646115111398E-3</v>
      </c>
      <c r="F41" s="1"/>
      <c r="G41" s="1"/>
    </row>
    <row r="42" spans="1:7" x14ac:dyDescent="0.25">
      <c r="A42" s="1">
        <v>-0.2</v>
      </c>
      <c r="B42" s="1" t="s">
        <v>9</v>
      </c>
      <c r="C42" s="1" t="s">
        <v>7</v>
      </c>
      <c r="D42" s="5">
        <v>2.12854334774648E-2</v>
      </c>
      <c r="E42" s="6">
        <v>1.4950713909054499E-2</v>
      </c>
      <c r="F42" s="1" t="b">
        <f>IF(D43&lt;D42, TRUE, FALSE)</f>
        <v>1</v>
      </c>
      <c r="G42" s="1" t="b">
        <f>IF(E43&lt;E42, TRUE, FALSE)</f>
        <v>1</v>
      </c>
    </row>
    <row r="43" spans="1:7" x14ac:dyDescent="0.25">
      <c r="A43" s="7">
        <v>-0.2</v>
      </c>
      <c r="B43" s="7" t="s">
        <v>9</v>
      </c>
      <c r="C43" s="7" t="s">
        <v>6</v>
      </c>
      <c r="D43" s="8">
        <v>1.39861667874137E-2</v>
      </c>
      <c r="E43" s="9">
        <v>1.30127479162314E-2</v>
      </c>
      <c r="F43" s="1"/>
      <c r="G43" s="1"/>
    </row>
    <row r="44" spans="1:7" x14ac:dyDescent="0.25">
      <c r="A44" s="2">
        <v>-0.2</v>
      </c>
      <c r="B44" s="2" t="s">
        <v>10</v>
      </c>
      <c r="C44" s="2" t="s">
        <v>8</v>
      </c>
      <c r="D44" s="3">
        <v>9.80968167971423E-2</v>
      </c>
      <c r="E44" s="4">
        <v>8.0035614818173405E-3</v>
      </c>
      <c r="F44" s="1"/>
      <c r="G44" s="1"/>
    </row>
    <row r="45" spans="1:7" x14ac:dyDescent="0.25">
      <c r="A45" s="1">
        <v>-0.2</v>
      </c>
      <c r="B45" s="1" t="s">
        <v>10</v>
      </c>
      <c r="C45" s="1" t="s">
        <v>7</v>
      </c>
      <c r="D45" s="5">
        <v>5.2826860011839401E-2</v>
      </c>
      <c r="E45" s="6">
        <v>4.0384653322655499E-2</v>
      </c>
      <c r="F45" s="1" t="b">
        <f>IF(D46&lt;D45, TRUE, FALSE)</f>
        <v>0</v>
      </c>
      <c r="G45" s="1" t="b">
        <f>IF(E46&lt;E45, TRUE, FALSE)</f>
        <v>0</v>
      </c>
    </row>
    <row r="46" spans="1:7" x14ac:dyDescent="0.25">
      <c r="A46" s="7">
        <v>-0.2</v>
      </c>
      <c r="B46" s="7" t="s">
        <v>10</v>
      </c>
      <c r="C46" s="7" t="s">
        <v>6</v>
      </c>
      <c r="D46" s="8">
        <v>6.4170463451221793E-2</v>
      </c>
      <c r="E46" s="9">
        <v>5.7996000653390202E-2</v>
      </c>
      <c r="F46" s="1"/>
      <c r="G46" s="1"/>
    </row>
    <row r="47" spans="1:7" x14ac:dyDescent="0.25">
      <c r="A47" s="2">
        <v>-0.2</v>
      </c>
      <c r="B47" s="2" t="s">
        <v>11</v>
      </c>
      <c r="C47" s="2" t="s">
        <v>8</v>
      </c>
      <c r="D47" s="3">
        <v>0.100941911875339</v>
      </c>
      <c r="E47" s="4">
        <v>8.3892369856655401E-3</v>
      </c>
      <c r="F47" s="1"/>
      <c r="G47" s="1"/>
    </row>
    <row r="48" spans="1:7" x14ac:dyDescent="0.25">
      <c r="A48" s="1">
        <v>-0.2</v>
      </c>
      <c r="B48" s="1" t="s">
        <v>11</v>
      </c>
      <c r="C48" s="1" t="s">
        <v>7</v>
      </c>
      <c r="D48" s="5">
        <v>0.169900728151505</v>
      </c>
      <c r="E48" s="6">
        <v>8.3082706747407295E-2</v>
      </c>
      <c r="F48" s="1" t="b">
        <f>IF(D49&lt;D48, TRUE, FALSE)</f>
        <v>0</v>
      </c>
      <c r="G48" s="1" t="b">
        <f>IF(E49&lt;E48, TRUE, FALSE)</f>
        <v>0</v>
      </c>
    </row>
    <row r="49" spans="1:7" ht="15.75" thickBot="1" x14ac:dyDescent="0.3">
      <c r="A49" s="10">
        <v>-0.2</v>
      </c>
      <c r="B49" s="10" t="s">
        <v>11</v>
      </c>
      <c r="C49" s="10" t="s">
        <v>6</v>
      </c>
      <c r="D49" s="11">
        <v>0.49427065399821501</v>
      </c>
      <c r="E49" s="12">
        <v>0.118677356929241</v>
      </c>
      <c r="F49" s="1"/>
      <c r="G49" s="1"/>
    </row>
  </sheetData>
  <sortState xmlns:xlrd2="http://schemas.microsoft.com/office/spreadsheetml/2017/richdata2" ref="A2:G49">
    <sortCondition descending="1" ref="A2:A49"/>
    <sortCondition ref="B2:B49" customList="minimal,moderate,strong,extreme"/>
    <sortCondition ref="C2:C49" customList="Biased,xmin,Fixed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three_betas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Pomeranz</cp:lastModifiedBy>
  <dcterms:created xsi:type="dcterms:W3CDTF">2026-06-24T18:30:11Z</dcterms:created>
  <dcterms:modified xsi:type="dcterms:W3CDTF">2026-06-24T20:11:52Z</dcterms:modified>
</cp:coreProperties>
</file>